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Datos" sheetId="1" r:id="rId4"/>
    <sheet state="visible" name="IndiceDeExposición" sheetId="2" r:id="rId5"/>
  </sheets>
  <definedNames>
    <definedName name="TipoDeContenido">mDatos!$B$3:$B$9</definedName>
    <definedName name="Control">mDatos!$J$3:$J$5</definedName>
    <definedName name="Relevancia">mDatos!$H$3:$H$6</definedName>
    <definedName name="Actualidad">mDatos!$F$3:$F$6</definedName>
    <definedName name="Accesibilidad">mDatos!$D$3:$D$6</definedName>
  </definedNames>
  <calcPr/>
  <extLst>
    <ext uri="GoogleSheetsCustomDataVersion2">
      <go:sheetsCustomData xmlns:go="http://customooxmlschemas.google.com/" r:id="rId6" roundtripDataChecksum="vXNMjMI5WGxZeTw8QAF9AQhr/DgZY65kQWXXm+r/RRY="/>
    </ext>
  </extLst>
</workbook>
</file>

<file path=xl/sharedStrings.xml><?xml version="1.0" encoding="utf-8"?>
<sst xmlns="http://schemas.openxmlformats.org/spreadsheetml/2006/main" count="57" uniqueCount="43">
  <si>
    <t>Tipo de contenido</t>
  </si>
  <si>
    <t>Accesibilidad</t>
  </si>
  <si>
    <t>Actualidad</t>
  </si>
  <si>
    <t>Relevancia</t>
  </si>
  <si>
    <t>Control</t>
  </si>
  <si>
    <t>Red social</t>
  </si>
  <si>
    <t>Público</t>
  </si>
  <si>
    <t>Actual (&lt;1 año)</t>
  </si>
  <si>
    <t>Alta (definitivamente soy yo)</t>
  </si>
  <si>
    <t>Total (puedo modificar/eliminar)</t>
  </si>
  <si>
    <t>Imagen</t>
  </si>
  <si>
    <t>Requiere registro</t>
  </si>
  <si>
    <t>Reciente (1-3 años)</t>
  </si>
  <si>
    <t>Media (probablemente soy yo)</t>
  </si>
  <si>
    <t>Parcial (puedo solicitar cambios)</t>
  </si>
  <si>
    <t>Noticia</t>
  </si>
  <si>
    <t>Requiere login</t>
  </si>
  <si>
    <t>Antiguo (&gt;3 años)</t>
  </si>
  <si>
    <t>Baja (podría no ser yo)</t>
  </si>
  <si>
    <t>Nulo (no puedo modificar)</t>
  </si>
  <si>
    <t>Foro/Comentario</t>
  </si>
  <si>
    <t>De pago</t>
  </si>
  <si>
    <t>Desconocida</t>
  </si>
  <si>
    <t>Nula (no soy yo)</t>
  </si>
  <si>
    <t>Documento</t>
  </si>
  <si>
    <t>Video</t>
  </si>
  <si>
    <t>Otro</t>
  </si>
  <si>
    <t>Índice de exposición</t>
  </si>
  <si>
    <t>ID</t>
  </si>
  <si>
    <t>Término Buscado</t>
  </si>
  <si>
    <t>Buscador</t>
  </si>
  <si>
    <t>URL</t>
  </si>
  <si>
    <t>Tipo de Contenido</t>
  </si>
  <si>
    <t>Observaciones</t>
  </si>
  <si>
    <t>R</t>
  </si>
  <si>
    <t>C</t>
  </si>
  <si>
    <t>R*C</t>
  </si>
  <si>
    <t>Daniela Morán García Torrelavega</t>
  </si>
  <si>
    <t>Google</t>
  </si>
  <si>
    <t>https://eoitorrelavega.es/wp-content/uploads/2022/04/Lista-admitidos-matricula-libre-21-22.pdf</t>
  </si>
  <si>
    <t>Daniela Morán García</t>
  </si>
  <si>
    <t>Bing</t>
  </si>
  <si>
    <t>https://es.pinterest.com/danielamorngarca/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</si>
</sst>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/>
    <font>
      <b/>
      <sz val="10.0"/>
      <color theme="1"/>
      <name val="Courier New"/>
    </font>
    <font>
      <sz val="10.0"/>
      <color theme="1"/>
      <name val="Arial"/>
    </font>
    <font>
      <u/>
      <sz val="10.0"/>
      <color rgb="FF3C78D8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5" numFmtId="0" xfId="0" applyBorder="1" applyFont="1"/>
    <xf borderId="3" fillId="0" fontId="6" numFmtId="2" xfId="0" applyAlignment="1" applyBorder="1" applyFont="1" applyNumberFormat="1">
      <alignment horizontal="center" vertical="center"/>
    </xf>
    <xf borderId="0" fillId="0" fontId="7" numFmtId="0" xfId="0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center"/>
    </xf>
    <xf borderId="0" fillId="2" fontId="4" numFmtId="0" xfId="0" applyAlignment="1" applyFont="1">
      <alignment vertical="center"/>
    </xf>
    <xf borderId="7" fillId="3" fontId="4" numFmtId="0" xfId="0" applyAlignment="1" applyBorder="1" applyFill="1" applyFont="1">
      <alignment vertical="center"/>
    </xf>
    <xf borderId="8" fillId="0" fontId="4" numFmtId="0" xfId="0" applyAlignment="1" applyBorder="1" applyFont="1">
      <alignment readingOrder="0" vertical="center"/>
    </xf>
    <xf borderId="9" fillId="0" fontId="8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10" fillId="0" fontId="4" numFmtId="0" xfId="0" applyAlignment="1" applyBorder="1" applyFont="1">
      <alignment vertical="center"/>
    </xf>
    <xf borderId="7" fillId="3" fontId="4" numFmtId="0" xfId="0" applyAlignment="1" applyBorder="1" applyFont="1">
      <alignment horizontal="center" vertical="center"/>
    </xf>
    <xf borderId="8" fillId="3" fontId="4" numFmtId="0" xfId="0" applyAlignment="1" applyBorder="1" applyFont="1">
      <alignment horizontal="center" vertical="center"/>
    </xf>
    <xf borderId="10" fillId="3" fontId="3" numFmtId="0" xfId="0" applyAlignment="1" applyBorder="1" applyFont="1">
      <alignment horizontal="center" vertical="center"/>
    </xf>
    <xf borderId="11" fillId="3" fontId="4" numFmtId="0" xfId="0" applyAlignment="1" applyBorder="1" applyFont="1">
      <alignment readingOrder="0" vertical="center"/>
    </xf>
    <xf borderId="12" fillId="0" fontId="4" numFmtId="0" xfId="0" applyBorder="1" applyFont="1"/>
    <xf borderId="11" fillId="3" fontId="4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12" fillId="3" fontId="3" numFmtId="0" xfId="0" applyAlignment="1" applyBorder="1" applyFont="1">
      <alignment horizontal="center" vertical="center"/>
    </xf>
    <xf borderId="8" fillId="0" fontId="4" numFmtId="0" xfId="0" applyAlignment="1" applyBorder="1" applyFont="1">
      <alignment vertical="center"/>
    </xf>
    <xf borderId="9" fillId="0" fontId="4" numFmtId="0" xfId="0" applyBorder="1" applyFont="1"/>
    <xf borderId="8" fillId="0" fontId="4" numFmtId="0" xfId="0" applyBorder="1" applyFont="1"/>
    <xf borderId="11" fillId="3" fontId="4" numFmtId="0" xfId="0" applyAlignment="1" applyBorder="1" applyFont="1">
      <alignment vertical="center"/>
    </xf>
    <xf borderId="13" fillId="3" fontId="4" numFmtId="0" xfId="0" applyAlignment="1" applyBorder="1" applyFont="1">
      <alignment vertical="center"/>
    </xf>
    <xf borderId="14" fillId="0" fontId="4" numFmtId="0" xfId="0" applyBorder="1" applyFont="1"/>
    <xf borderId="15" fillId="0" fontId="4" numFmtId="0" xfId="0" applyBorder="1" applyFont="1"/>
    <xf borderId="13" fillId="3" fontId="4" numFmtId="0" xfId="0" applyAlignment="1" applyBorder="1" applyFont="1">
      <alignment horizontal="center" vertical="center"/>
    </xf>
    <xf borderId="14" fillId="3" fontId="4" numFmtId="0" xfId="0" applyAlignment="1" applyBorder="1" applyFont="1">
      <alignment horizontal="center" vertical="center"/>
    </xf>
    <xf borderId="15" fillId="3" fontId="3" numFmtId="0" xfId="0" applyAlignment="1" applyBorder="1" applyFont="1">
      <alignment horizontal="center" vertical="center"/>
    </xf>
    <xf borderId="0" fillId="2" fontId="4" numFmtId="0" xfId="0" applyFont="1"/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oitorrelavega.es/wp-content/uploads/2022/04/Lista-admitidos-matricula-libre-21-22.pdf" TargetMode="External"/><Relationship Id="rId2" Type="http://schemas.openxmlformats.org/officeDocument/2006/relationships/hyperlink" Target="https://es.pinterest.com/danielamorngarca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21.75"/>
    <col customWidth="1" min="9" max="9" width="4.0"/>
    <col customWidth="1" min="10" max="10" width="23.0"/>
    <col customWidth="1" min="11" max="11" width="3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0</v>
      </c>
      <c r="C2" s="1"/>
      <c r="D2" s="2" t="s">
        <v>1</v>
      </c>
      <c r="E2" s="1"/>
      <c r="F2" s="2" t="s">
        <v>2</v>
      </c>
      <c r="G2" s="1"/>
      <c r="H2" s="2" t="s">
        <v>3</v>
      </c>
      <c r="I2" s="1"/>
      <c r="J2" s="2" t="s">
        <v>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 t="s">
        <v>5</v>
      </c>
      <c r="C3" s="1"/>
      <c r="D3" s="1" t="s">
        <v>6</v>
      </c>
      <c r="E3" s="1"/>
      <c r="F3" s="1" t="s">
        <v>7</v>
      </c>
      <c r="G3" s="1"/>
      <c r="H3" s="1" t="s">
        <v>8</v>
      </c>
      <c r="I3" s="1">
        <v>1.0</v>
      </c>
      <c r="J3" s="1" t="s">
        <v>9</v>
      </c>
      <c r="K3" s="1">
        <v>0.2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 t="s">
        <v>10</v>
      </c>
      <c r="C4" s="1"/>
      <c r="D4" s="1" t="s">
        <v>11</v>
      </c>
      <c r="E4" s="1"/>
      <c r="F4" s="1" t="s">
        <v>12</v>
      </c>
      <c r="G4" s="1"/>
      <c r="H4" s="1" t="s">
        <v>13</v>
      </c>
      <c r="I4" s="1">
        <v>0.5</v>
      </c>
      <c r="J4" s="1" t="s">
        <v>14</v>
      </c>
      <c r="K4" s="1">
        <v>0.5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 t="s">
        <v>15</v>
      </c>
      <c r="C5" s="1"/>
      <c r="D5" s="1" t="s">
        <v>16</v>
      </c>
      <c r="E5" s="1"/>
      <c r="F5" s="1" t="s">
        <v>17</v>
      </c>
      <c r="G5" s="1"/>
      <c r="H5" s="1" t="s">
        <v>18</v>
      </c>
      <c r="I5" s="1">
        <v>0.25</v>
      </c>
      <c r="J5" s="1" t="s">
        <v>19</v>
      </c>
      <c r="K5" s="1">
        <v>1.0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20</v>
      </c>
      <c r="C6" s="1"/>
      <c r="D6" s="1" t="s">
        <v>21</v>
      </c>
      <c r="E6" s="1"/>
      <c r="F6" s="1" t="s">
        <v>22</v>
      </c>
      <c r="G6" s="1"/>
      <c r="H6" s="1" t="s">
        <v>23</v>
      </c>
      <c r="I6" s="1">
        <v>0.1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 t="s">
        <v>24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 t="s">
        <v>25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26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2.63"/>
    <col customWidth="1" min="3" max="3" width="26.63"/>
    <col customWidth="1" min="4" max="4" width="7.88"/>
    <col customWidth="1" min="5" max="5" width="25.63"/>
    <col customWidth="1" min="6" max="6" width="13.63"/>
    <col customWidth="1" min="7" max="7" width="14.0"/>
    <col customWidth="1" min="8" max="8" width="12.75"/>
    <col customWidth="1" min="9" max="9" width="22.25"/>
    <col customWidth="1" min="10" max="10" width="25.5"/>
    <col customWidth="1" min="11" max="11" width="38.13"/>
    <col customWidth="1" min="12" max="12" width="4.38"/>
    <col customWidth="1" hidden="1" min="13" max="13" width="3.63"/>
    <col customWidth="1" hidden="1" min="14" max="15" width="4.75"/>
    <col customWidth="1" hidden="1" min="16" max="16" width="4.38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6"/>
      <c r="O1" s="4"/>
      <c r="P1" s="5"/>
    </row>
    <row r="2" ht="15.75" customHeight="1">
      <c r="A2" s="3"/>
      <c r="B2" s="7" t="s">
        <v>27</v>
      </c>
      <c r="C2" s="8"/>
      <c r="D2" s="9">
        <f>iferror(AVERAGE(O5:O14),"")</f>
        <v>0.7625</v>
      </c>
      <c r="E2" s="4"/>
      <c r="F2" s="4"/>
      <c r="G2" s="4"/>
      <c r="H2" s="4"/>
      <c r="I2" s="10"/>
      <c r="J2" s="10"/>
      <c r="K2" s="4"/>
      <c r="L2" s="5"/>
      <c r="M2" s="5"/>
      <c r="N2" s="5"/>
      <c r="O2" s="5"/>
      <c r="P2" s="5"/>
    </row>
    <row r="3" ht="15.75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5"/>
      <c r="N3" s="6"/>
      <c r="O3" s="4"/>
      <c r="P3" s="5"/>
    </row>
    <row r="4" ht="15.75" customHeight="1">
      <c r="A4" s="3"/>
      <c r="B4" s="11" t="s">
        <v>28</v>
      </c>
      <c r="C4" s="12" t="s">
        <v>29</v>
      </c>
      <c r="D4" s="12" t="s">
        <v>30</v>
      </c>
      <c r="E4" s="12" t="s">
        <v>31</v>
      </c>
      <c r="F4" s="12" t="s">
        <v>32</v>
      </c>
      <c r="G4" s="12" t="s">
        <v>1</v>
      </c>
      <c r="H4" s="12" t="s">
        <v>2</v>
      </c>
      <c r="I4" s="12" t="s">
        <v>3</v>
      </c>
      <c r="J4" s="12" t="s">
        <v>4</v>
      </c>
      <c r="K4" s="13" t="s">
        <v>33</v>
      </c>
      <c r="L4" s="5"/>
      <c r="M4" s="11" t="s">
        <v>34</v>
      </c>
      <c r="N4" s="14" t="s">
        <v>35</v>
      </c>
      <c r="O4" s="13" t="s">
        <v>36</v>
      </c>
      <c r="P4" s="5"/>
    </row>
    <row r="5" ht="15.75" customHeight="1">
      <c r="A5" s="15"/>
      <c r="B5" s="16">
        <f>if(len(C5)&gt;0,row()-4,"")</f>
        <v>1</v>
      </c>
      <c r="C5" s="17" t="s">
        <v>37</v>
      </c>
      <c r="D5" s="17" t="s">
        <v>38</v>
      </c>
      <c r="E5" s="18" t="s">
        <v>39</v>
      </c>
      <c r="F5" s="19" t="s">
        <v>24</v>
      </c>
      <c r="G5" s="19" t="s">
        <v>6</v>
      </c>
      <c r="H5" s="17" t="s">
        <v>12</v>
      </c>
      <c r="I5" s="20" t="s">
        <v>8</v>
      </c>
      <c r="J5" s="20" t="s">
        <v>19</v>
      </c>
      <c r="K5" s="21"/>
      <c r="L5" s="5"/>
      <c r="M5" s="22">
        <f>iferror(VLOOKUP(I5,mDatos!$H$3:$I$6,2,false),"")</f>
        <v>1</v>
      </c>
      <c r="N5" s="23">
        <f>iferror(VLOOKUP(J5,mDatos!$J$3:$K$5,2,false),"")</f>
        <v>1</v>
      </c>
      <c r="O5" s="24">
        <f t="shared" ref="O5:O14" si="1">if(len(C5)*len(M5)*len(N5)&gt;0,M5*N5,"")</f>
        <v>1</v>
      </c>
      <c r="P5" s="5"/>
    </row>
    <row r="6" ht="15.75" customHeight="1">
      <c r="A6" s="15"/>
      <c r="B6" s="25">
        <v>2.0</v>
      </c>
      <c r="C6" s="17" t="s">
        <v>40</v>
      </c>
      <c r="D6" s="19" t="s">
        <v>41</v>
      </c>
      <c r="E6" s="18" t="s">
        <v>42</v>
      </c>
      <c r="F6" s="19" t="s">
        <v>5</v>
      </c>
      <c r="G6" s="19" t="s">
        <v>16</v>
      </c>
      <c r="H6" s="19" t="s">
        <v>17</v>
      </c>
      <c r="I6" s="19" t="s">
        <v>8</v>
      </c>
      <c r="J6" s="20" t="s">
        <v>14</v>
      </c>
      <c r="K6" s="26"/>
      <c r="L6" s="5"/>
      <c r="M6" s="27">
        <f>iferror(VLOOKUP(I6,mDatos!$H$3:$I$6,2,false)+countif(I$5:I5,I6)*0.05,"")</f>
        <v>1.05</v>
      </c>
      <c r="N6" s="28">
        <f>iferror(VLOOKUP(J6,mDatos!$J$3:$K$5,2,false),"")</f>
        <v>0.5</v>
      </c>
      <c r="O6" s="29">
        <f t="shared" si="1"/>
        <v>0.525</v>
      </c>
      <c r="P6" s="5"/>
    </row>
    <row r="7" ht="15.75" customHeight="1">
      <c r="A7" s="15"/>
      <c r="B7" s="25"/>
      <c r="C7" s="30"/>
      <c r="D7" s="31"/>
      <c r="E7" s="31"/>
      <c r="F7" s="31"/>
      <c r="G7" s="31"/>
      <c r="H7" s="31"/>
      <c r="I7" s="31"/>
      <c r="J7" s="32"/>
      <c r="K7" s="26"/>
      <c r="L7" s="5"/>
      <c r="M7" s="27" t="str">
        <f>iferror(VLOOKUP(I7,mDatos!$H$3:$I$6,2,false)+countif(I$5:I6,I7)*0.05,"")</f>
        <v/>
      </c>
      <c r="N7" s="28" t="str">
        <f>iferror(VLOOKUP(J7,mDatos!$J$3:$K$5,2,false),"")</f>
        <v/>
      </c>
      <c r="O7" s="29" t="str">
        <f t="shared" si="1"/>
        <v/>
      </c>
      <c r="P7" s="5"/>
    </row>
    <row r="8" ht="15.75" customHeight="1">
      <c r="A8" s="15"/>
      <c r="B8" s="33" t="str">
        <f t="shared" ref="B8:B14" si="2">if(len(C8)&gt;0,row()-4,"")</f>
        <v/>
      </c>
      <c r="C8" s="30"/>
      <c r="D8" s="31"/>
      <c r="E8" s="31"/>
      <c r="F8" s="31"/>
      <c r="G8" s="31"/>
      <c r="H8" s="31"/>
      <c r="I8" s="31"/>
      <c r="J8" s="32"/>
      <c r="K8" s="26"/>
      <c r="L8" s="5"/>
      <c r="M8" s="27" t="str">
        <f>iferror(VLOOKUP(I8,mDatos!$H$3:$I$6,2,false)+countif(I$5:I7,I8)*0.05,"")</f>
        <v/>
      </c>
      <c r="N8" s="28" t="str">
        <f>iferror(VLOOKUP(J8,mDatos!$J$3:$K$5,2,false),"")</f>
        <v/>
      </c>
      <c r="O8" s="29" t="str">
        <f t="shared" si="1"/>
        <v/>
      </c>
      <c r="P8" s="5"/>
    </row>
    <row r="9" ht="15.75" customHeight="1">
      <c r="A9" s="15"/>
      <c r="B9" s="33" t="str">
        <f t="shared" si="2"/>
        <v/>
      </c>
      <c r="C9" s="30"/>
      <c r="D9" s="31"/>
      <c r="E9" s="31"/>
      <c r="F9" s="31"/>
      <c r="G9" s="31"/>
      <c r="H9" s="31"/>
      <c r="I9" s="31"/>
      <c r="J9" s="32"/>
      <c r="K9" s="26"/>
      <c r="L9" s="5"/>
      <c r="M9" s="27" t="str">
        <f>iferror(VLOOKUP(I9,mDatos!$H$3:$I$6,2,false)+countif(I$5:I8,I9)*0.05,"")</f>
        <v/>
      </c>
      <c r="N9" s="28" t="str">
        <f>iferror(VLOOKUP(J9,mDatos!$J$3:$K$5,2,false),"")</f>
        <v/>
      </c>
      <c r="O9" s="29" t="str">
        <f t="shared" si="1"/>
        <v/>
      </c>
      <c r="P9" s="5"/>
    </row>
    <row r="10" ht="15.75" customHeight="1">
      <c r="A10" s="15"/>
      <c r="B10" s="33" t="str">
        <f t="shared" si="2"/>
        <v/>
      </c>
      <c r="C10" s="31"/>
      <c r="D10" s="31"/>
      <c r="E10" s="31"/>
      <c r="F10" s="31"/>
      <c r="G10" s="31"/>
      <c r="H10" s="31"/>
      <c r="I10" s="31"/>
      <c r="J10" s="31"/>
      <c r="K10" s="26"/>
      <c r="L10" s="5"/>
      <c r="M10" s="27" t="str">
        <f>iferror(VLOOKUP(I10,mDatos!$H$3:$I$6,2,false)+countif(I$5:I9,I10)*0.05,"")</f>
        <v/>
      </c>
      <c r="N10" s="28" t="str">
        <f>iferror(VLOOKUP(J10,mDatos!$J$3:$K$5,2,false),"")</f>
        <v/>
      </c>
      <c r="O10" s="29" t="str">
        <f t="shared" si="1"/>
        <v/>
      </c>
      <c r="P10" s="5"/>
    </row>
    <row r="11" ht="15.75" customHeight="1">
      <c r="A11" s="15"/>
      <c r="B11" s="33" t="str">
        <f t="shared" si="2"/>
        <v/>
      </c>
      <c r="C11" s="31"/>
      <c r="D11" s="31"/>
      <c r="E11" s="31"/>
      <c r="F11" s="31"/>
      <c r="G11" s="31"/>
      <c r="H11" s="31"/>
      <c r="I11" s="31"/>
      <c r="J11" s="31"/>
      <c r="K11" s="26"/>
      <c r="L11" s="5"/>
      <c r="M11" s="27" t="str">
        <f>iferror(VLOOKUP(I11,mDatos!$H$3:$I$6,2,false)+countif(I$5:I10,I11)*0.05,"")</f>
        <v/>
      </c>
      <c r="N11" s="28" t="str">
        <f>iferror(VLOOKUP(J11,mDatos!$J$3:$K$5,2,false),"")</f>
        <v/>
      </c>
      <c r="O11" s="29" t="str">
        <f t="shared" si="1"/>
        <v/>
      </c>
      <c r="P11" s="5"/>
    </row>
    <row r="12" ht="15.75" customHeight="1">
      <c r="A12" s="15"/>
      <c r="B12" s="33" t="str">
        <f t="shared" si="2"/>
        <v/>
      </c>
      <c r="C12" s="31"/>
      <c r="D12" s="31"/>
      <c r="E12" s="31"/>
      <c r="F12" s="31"/>
      <c r="G12" s="31"/>
      <c r="H12" s="31"/>
      <c r="I12" s="31"/>
      <c r="J12" s="31"/>
      <c r="K12" s="26"/>
      <c r="L12" s="5"/>
      <c r="M12" s="27" t="str">
        <f>iferror(VLOOKUP(I12,mDatos!$H$3:$I$6,2,false)+countif(I$5:I11,I12)*0.05,"")</f>
        <v/>
      </c>
      <c r="N12" s="28" t="str">
        <f>iferror(VLOOKUP(J12,mDatos!$J$3:$K$5,2,false),"")</f>
        <v/>
      </c>
      <c r="O12" s="29" t="str">
        <f t="shared" si="1"/>
        <v/>
      </c>
      <c r="P12" s="5"/>
    </row>
    <row r="13" ht="15.75" customHeight="1">
      <c r="A13" s="15"/>
      <c r="B13" s="33" t="str">
        <f t="shared" si="2"/>
        <v/>
      </c>
      <c r="C13" s="31"/>
      <c r="D13" s="31"/>
      <c r="E13" s="31"/>
      <c r="F13" s="31"/>
      <c r="G13" s="31"/>
      <c r="H13" s="31"/>
      <c r="I13" s="31"/>
      <c r="J13" s="31"/>
      <c r="K13" s="26"/>
      <c r="L13" s="5"/>
      <c r="M13" s="27" t="str">
        <f>iferror(VLOOKUP(I13,mDatos!$H$3:$I$6,2,false)+countif(I$5:I12,I13)*0.05,"")</f>
        <v/>
      </c>
      <c r="N13" s="28" t="str">
        <f>iferror(VLOOKUP(J13,mDatos!$J$3:$K$5,2,false),"")</f>
        <v/>
      </c>
      <c r="O13" s="29" t="str">
        <f t="shared" si="1"/>
        <v/>
      </c>
      <c r="P13" s="5"/>
    </row>
    <row r="14" ht="15.75" customHeight="1">
      <c r="A14" s="15"/>
      <c r="B14" s="34" t="str">
        <f t="shared" si="2"/>
        <v/>
      </c>
      <c r="C14" s="35"/>
      <c r="D14" s="35"/>
      <c r="E14" s="35"/>
      <c r="F14" s="35"/>
      <c r="G14" s="35"/>
      <c r="H14" s="35"/>
      <c r="I14" s="35"/>
      <c r="J14" s="35"/>
      <c r="K14" s="36"/>
      <c r="L14" s="5"/>
      <c r="M14" s="37" t="str">
        <f>iferror(VLOOKUP(I14,mDatos!$H$3:$I$6,2,false)+countif(I$5:I13,I14)*0.05,"")</f>
        <v/>
      </c>
      <c r="N14" s="38" t="str">
        <f>iferror(VLOOKUP(J14,mDatos!$J$3:$K$5,2,false),"")</f>
        <v/>
      </c>
      <c r="O14" s="39" t="str">
        <f t="shared" si="1"/>
        <v/>
      </c>
      <c r="P14" s="5"/>
    </row>
    <row r="15" ht="15.75" customHeight="1">
      <c r="A15" s="15"/>
      <c r="B15" s="5"/>
    </row>
    <row r="16" ht="15.75" customHeight="1">
      <c r="A16" s="15"/>
    </row>
    <row r="17" ht="15.75" customHeight="1">
      <c r="A17" s="15"/>
    </row>
    <row r="18" ht="15.75" customHeight="1">
      <c r="A18" s="15"/>
    </row>
    <row r="19" ht="15.75" customHeight="1">
      <c r="A19" s="15"/>
    </row>
    <row r="20" ht="15.75" customHeight="1">
      <c r="A20" s="15"/>
    </row>
    <row r="21" ht="15.75" customHeight="1">
      <c r="A21" s="15"/>
    </row>
    <row r="22" ht="15.75" customHeight="1">
      <c r="A22" s="15"/>
    </row>
    <row r="23" ht="15.75" customHeight="1">
      <c r="A23" s="15"/>
    </row>
    <row r="24" ht="15.75" customHeight="1">
      <c r="A24" s="15"/>
    </row>
    <row r="25" ht="15.75" customHeight="1">
      <c r="A25" s="15"/>
    </row>
    <row r="26" ht="15.75" customHeight="1">
      <c r="A26" s="15"/>
    </row>
    <row r="27" ht="15.75" customHeight="1">
      <c r="A27" s="15"/>
    </row>
    <row r="28" ht="15.75" customHeight="1">
      <c r="A28" s="15"/>
    </row>
    <row r="29" ht="15.75" customHeight="1">
      <c r="A29" s="15"/>
    </row>
    <row r="30" ht="15.75" customHeight="1">
      <c r="A30" s="4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conditionalFormatting sqref="D2">
    <cfRule type="cellIs" dxfId="0" priority="1" operator="lessThanOrEqual">
      <formula>0.3</formula>
    </cfRule>
  </conditionalFormatting>
  <conditionalFormatting sqref="D2">
    <cfRule type="cellIs" dxfId="1" priority="2" operator="lessThanOrEqual">
      <formula>0.6</formula>
    </cfRule>
  </conditionalFormatting>
  <conditionalFormatting sqref="D2">
    <cfRule type="cellIs" dxfId="2" priority="3" operator="lessThan">
      <formula>1</formula>
    </cfRule>
  </conditionalFormatting>
  <conditionalFormatting sqref="D2">
    <cfRule type="cellIs" dxfId="3" priority="4" operator="greaterThanOrEqual">
      <formula>1</formula>
    </cfRule>
  </conditionalFormatting>
  <dataValidations>
    <dataValidation type="list" allowBlank="1" showErrorMessage="1" sqref="I5:I14">
      <formula1>Relevancia</formula1>
    </dataValidation>
    <dataValidation type="list" allowBlank="1" showErrorMessage="1" sqref="H5:H14">
      <formula1>Actualidad</formula1>
    </dataValidation>
    <dataValidation type="list" allowBlank="1" showErrorMessage="1" sqref="F5:F14">
      <formula1>TipoDeContenido</formula1>
    </dataValidation>
    <dataValidation type="list" allowBlank="1" showErrorMessage="1" sqref="G5:G14">
      <formula1>Accesibilidad</formula1>
    </dataValidation>
    <dataValidation type="list" allowBlank="1" showErrorMessage="1" sqref="J5:J14">
      <formula1>Control</formula1>
    </dataValidation>
  </dataValidations>
  <hyperlinks>
    <hyperlink r:id="rId1" ref="E5"/>
    <hyperlink r:id="rId2" ref="E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